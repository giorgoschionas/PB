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-Sn0\OneDrive\Έγγραφα\Korydallos\"/>
    </mc:Choice>
  </mc:AlternateContent>
  <bookViews>
    <workbookView xWindow="0" yWindow="0" windowWidth="23040" windowHeight="9384"/>
  </bookViews>
  <sheets>
    <sheet name="Sheet2" sheetId="2" r:id="rId1"/>
    <sheet name="Sheet1" sheetId="1" r:id="rId2"/>
  </sheets>
  <calcPr calcId="152511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K23" i="1"/>
  <c r="K22" i="1"/>
  <c r="K2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K13" i="1" l="1"/>
  <c r="K12" i="1"/>
  <c r="K15" i="1"/>
  <c r="K14" i="1"/>
  <c r="A17" i="1"/>
  <c r="K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K3" i="1" l="1"/>
  <c r="K4" i="1"/>
  <c r="K5" i="1"/>
</calcChain>
</file>

<file path=xl/sharedStrings.xml><?xml version="1.0" encoding="utf-8"?>
<sst xmlns="http://schemas.openxmlformats.org/spreadsheetml/2006/main" count="46" uniqueCount="24">
  <si>
    <t>Μήνας</t>
  </si>
  <si>
    <t>Ημερομηνία</t>
  </si>
  <si>
    <t>Περιγραφή</t>
  </si>
  <si>
    <t>Κατηγορία</t>
  </si>
  <si>
    <t>Ποσότητα</t>
  </si>
  <si>
    <t>Αξία</t>
  </si>
  <si>
    <t>Σύνολο</t>
  </si>
  <si>
    <t>Κρεατικά</t>
  </si>
  <si>
    <t>Κοτόπουλο</t>
  </si>
  <si>
    <t>Λαχανικά</t>
  </si>
  <si>
    <t>Ντομάτες</t>
  </si>
  <si>
    <t>Φρούτα</t>
  </si>
  <si>
    <t>Καρπούζι</t>
  </si>
  <si>
    <t>Γαλακτοκομικά</t>
  </si>
  <si>
    <t>Αθροιστικά</t>
  </si>
  <si>
    <t>Μπριζόλες</t>
  </si>
  <si>
    <t>Αχλάδια</t>
  </si>
  <si>
    <t>Αγγούρια</t>
  </si>
  <si>
    <t>Αρνί</t>
  </si>
  <si>
    <t>Γουρουνόπουλο</t>
  </si>
  <si>
    <t>Row Labels</t>
  </si>
  <si>
    <t>(blank)</t>
  </si>
  <si>
    <t>Grand Total</t>
  </si>
  <si>
    <t>Sum of Σύνολο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</si>
</sst>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164" fontId="0" fillId="0" borderId="0" xfId="0" applyNumberFormat="1"/>
    <xf numFmtId="0" fontId="0" fillId="0" borderId="1" xfId="0" applyBorder="1"/>
    <xf numFmtId="44" fontId="0" fillId="0" borderId="1" xfId="1" applyFont="1" applyBorder="1"/>
    <xf numFmtId="0" fontId="0" fillId="2" borderId="0" xfId="0" applyFill="1"/>
    <xf numFmtId="44" fontId="0" fillId="0" borderId="1" xfId="1" applyFont="1" applyBorder="1" applyAlignment="1">
      <alignment horizontal="center"/>
    </xf>
    <xf numFmtId="0" fontId="0" fillId="0" borderId="0" xfId="0" applyNumberFormat="1"/>
    <xf numFmtId="4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</cellXfs>
  <cellStyles count="2">
    <cellStyle name="Currency" xfId="1" builtinId="4"/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164" formatCode="[$-409]d\-mmm\-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[Εξοδα.xlsx]Sheet2!PivotTable1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Sheet2!$A$4:$A$14</c:f>
              <c:multiLvlStrCache>
                <c:ptCount val="6"/>
                <c:lvl>
                  <c:pt idx="0">
                    <c:v>7</c:v>
                  </c:pt>
                  <c:pt idx="1">
                    <c:v>8</c:v>
                  </c:pt>
                  <c:pt idx="2">
                    <c:v>7</c:v>
                  </c:pt>
                  <c:pt idx="3">
                    <c:v>7</c:v>
                  </c:pt>
                  <c:pt idx="4">
                    <c:v>7</c:v>
                  </c:pt>
                  <c:pt idx="5">
                    <c:v>(blank)</c:v>
                  </c:pt>
                </c:lvl>
                <c:lvl>
                  <c:pt idx="0">
                    <c:v>Κρεατικά</c:v>
                  </c:pt>
                  <c:pt idx="2">
                    <c:v>Λαχανικά</c:v>
                  </c:pt>
                  <c:pt idx="3">
                    <c:v>Φρούτα</c:v>
                  </c:pt>
                  <c:pt idx="4">
                    <c:v>(blank)</c:v>
                  </c:pt>
                </c:lvl>
              </c:multiLvlStrCache>
            </c:multiLvlStrRef>
          </c:cat>
          <c:val>
            <c:numRef>
              <c:f>Sheet2!$B$4:$B$14</c:f>
              <c:numCache>
                <c:formatCode>General</c:formatCode>
                <c:ptCount val="6"/>
                <c:pt idx="0">
                  <c:v>70</c:v>
                </c:pt>
                <c:pt idx="1">
                  <c:v>50</c:v>
                </c:pt>
                <c:pt idx="2">
                  <c:v>47.5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1</xdr:row>
      <xdr:rowOff>167640</xdr:rowOff>
    </xdr:from>
    <xdr:to>
      <xdr:col>13</xdr:col>
      <xdr:colOff>601980</xdr:colOff>
      <xdr:row>16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Γιώργος Χιονάς" refreshedDate="44756.927617476853" createdVersion="5" refreshedVersion="5" minRefreshableVersion="3" recordCount="29">
  <cacheSource type="worksheet">
    <worksheetSource name="Table1"/>
  </cacheSource>
  <cacheFields count="7">
    <cacheField name="Μήνας" numFmtId="0">
      <sharedItems containsString="0" containsBlank="1" containsNumber="1" containsInteger="1" minValue="7" maxValue="8" count="3">
        <n v="7"/>
        <m/>
        <n v="8"/>
      </sharedItems>
    </cacheField>
    <cacheField name="Ημερομηνία" numFmtId="164">
      <sharedItems containsNonDate="0" containsDate="1" containsString="0" containsBlank="1" minDate="2022-07-02T00:00:00" maxDate="2022-08-09T00:00:00"/>
    </cacheField>
    <cacheField name="Κατηγορία" numFmtId="0">
      <sharedItems containsBlank="1" count="4">
        <s v="Κρεατικά"/>
        <s v="Λαχανικά"/>
        <s v="Φρούτα"/>
        <m/>
      </sharedItems>
    </cacheField>
    <cacheField name="Περιγραφή" numFmtId="0">
      <sharedItems containsBlank="1"/>
    </cacheField>
    <cacheField name="Ποσότητα" numFmtId="0">
      <sharedItems containsString="0" containsBlank="1" containsNumber="1" containsInteger="1" minValue="2" maxValue="20"/>
    </cacheField>
    <cacheField name="Αξία" numFmtId="44">
      <sharedItems containsString="0" containsBlank="1" containsNumber="1" minValue="0.5" maxValue="10" count="7">
        <n v="6"/>
        <n v="2"/>
        <n v="5"/>
        <n v="0.5"/>
        <n v="0.75"/>
        <n v="10"/>
        <m/>
      </sharedItems>
    </cacheField>
    <cacheField name="Σύνολο" numFmtId="44">
      <sharedItems containsString="0" containsBlank="1" containsNumber="1" minValue="0" maxValue="50" count="9">
        <n v="30"/>
        <n v="40"/>
        <n v="10"/>
        <n v="5"/>
        <n v="7.5"/>
        <n v="20"/>
        <n v="0"/>
        <m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d v="2022-07-02T00:00:00"/>
    <x v="0"/>
    <s v="Κοτόπουλο"/>
    <n v="5"/>
    <x v="0"/>
    <x v="0"/>
  </r>
  <r>
    <x v="0"/>
    <d v="2022-07-03T00:00:00"/>
    <x v="1"/>
    <s v="Ντομάτες"/>
    <n v="20"/>
    <x v="1"/>
    <x v="1"/>
  </r>
  <r>
    <x v="0"/>
    <d v="2022-07-05T00:00:00"/>
    <x v="2"/>
    <s v="Καρπούζι"/>
    <n v="2"/>
    <x v="2"/>
    <x v="2"/>
  </r>
  <r>
    <x v="0"/>
    <d v="2022-07-06T00:00:00"/>
    <x v="2"/>
    <s v="Αχλάδια"/>
    <n v="10"/>
    <x v="3"/>
    <x v="3"/>
  </r>
  <r>
    <x v="0"/>
    <d v="2022-07-07T00:00:00"/>
    <x v="1"/>
    <s v="Αγγούρια"/>
    <n v="10"/>
    <x v="4"/>
    <x v="4"/>
  </r>
  <r>
    <x v="0"/>
    <d v="2022-07-08T00:00:00"/>
    <x v="0"/>
    <s v="Αρνί"/>
    <n v="2"/>
    <x v="5"/>
    <x v="5"/>
  </r>
  <r>
    <x v="0"/>
    <d v="2022-07-09T00:00:00"/>
    <x v="0"/>
    <s v="Γουρουνόπουλο"/>
    <n v="2"/>
    <x v="5"/>
    <x v="5"/>
  </r>
  <r>
    <x v="0"/>
    <d v="2022-07-10T00:00:00"/>
    <x v="3"/>
    <m/>
    <m/>
    <x v="6"/>
    <x v="6"/>
  </r>
  <r>
    <x v="0"/>
    <d v="2022-07-11T00:00:00"/>
    <x v="3"/>
    <m/>
    <m/>
    <x v="6"/>
    <x v="6"/>
  </r>
  <r>
    <x v="0"/>
    <d v="2022-07-12T00:00:00"/>
    <x v="3"/>
    <m/>
    <m/>
    <x v="6"/>
    <x v="6"/>
  </r>
  <r>
    <x v="0"/>
    <d v="2022-07-13T00:00:00"/>
    <x v="3"/>
    <m/>
    <m/>
    <x v="6"/>
    <x v="6"/>
  </r>
  <r>
    <x v="0"/>
    <d v="2022-07-14T00:00:00"/>
    <x v="3"/>
    <m/>
    <m/>
    <x v="6"/>
    <x v="6"/>
  </r>
  <r>
    <x v="0"/>
    <d v="2022-07-15T00:00:00"/>
    <x v="3"/>
    <m/>
    <m/>
    <x v="6"/>
    <x v="6"/>
  </r>
  <r>
    <x v="0"/>
    <d v="2022-07-16T00:00:00"/>
    <x v="3"/>
    <m/>
    <m/>
    <x v="6"/>
    <x v="6"/>
  </r>
  <r>
    <x v="1"/>
    <m/>
    <x v="3"/>
    <m/>
    <m/>
    <x v="6"/>
    <x v="7"/>
  </r>
  <r>
    <x v="2"/>
    <d v="2022-08-01T00:00:00"/>
    <x v="0"/>
    <s v="Μπριζόλες"/>
    <n v="5"/>
    <x v="5"/>
    <x v="8"/>
  </r>
  <r>
    <x v="1"/>
    <d v="2022-08-02T00:00:00"/>
    <x v="3"/>
    <m/>
    <m/>
    <x v="6"/>
    <x v="6"/>
  </r>
  <r>
    <x v="1"/>
    <d v="2022-08-03T00:00:00"/>
    <x v="3"/>
    <m/>
    <m/>
    <x v="6"/>
    <x v="6"/>
  </r>
  <r>
    <x v="1"/>
    <d v="2022-08-04T00:00:00"/>
    <x v="3"/>
    <m/>
    <m/>
    <x v="6"/>
    <x v="6"/>
  </r>
  <r>
    <x v="1"/>
    <d v="2022-08-05T00:00:00"/>
    <x v="3"/>
    <m/>
    <m/>
    <x v="6"/>
    <x v="6"/>
  </r>
  <r>
    <x v="1"/>
    <d v="2022-08-06T00:00:00"/>
    <x v="3"/>
    <m/>
    <m/>
    <x v="6"/>
    <x v="6"/>
  </r>
  <r>
    <x v="1"/>
    <d v="2022-08-07T00:00:00"/>
    <x v="3"/>
    <m/>
    <m/>
    <x v="6"/>
    <x v="6"/>
  </r>
  <r>
    <x v="1"/>
    <d v="2022-08-08T00:00:00"/>
    <x v="3"/>
    <m/>
    <m/>
    <x v="6"/>
    <x v="6"/>
  </r>
  <r>
    <x v="1"/>
    <m/>
    <x v="3"/>
    <m/>
    <m/>
    <x v="6"/>
    <x v="6"/>
  </r>
  <r>
    <x v="1"/>
    <m/>
    <x v="3"/>
    <m/>
    <m/>
    <x v="6"/>
    <x v="6"/>
  </r>
  <r>
    <x v="1"/>
    <m/>
    <x v="3"/>
    <m/>
    <m/>
    <x v="6"/>
    <x v="6"/>
  </r>
  <r>
    <x v="1"/>
    <m/>
    <x v="3"/>
    <m/>
    <m/>
    <x v="6"/>
    <x v="6"/>
  </r>
  <r>
    <x v="1"/>
    <m/>
    <x v="3"/>
    <m/>
    <m/>
    <x v="6"/>
    <x v="6"/>
  </r>
  <r>
    <x v="1"/>
    <m/>
    <x v="3"/>
    <m/>
    <m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14" firstHeaderRow="1" firstDataRow="1" firstDataCol="1"/>
  <pivotFields count="7"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8">
        <item x="3"/>
        <item x="4"/>
        <item x="1"/>
        <item x="2"/>
        <item x="0"/>
        <item x="5"/>
        <item x="6"/>
        <item t="default"/>
      </items>
    </pivotField>
    <pivotField dataField="1" showAll="0">
      <items count="10">
        <item x="6"/>
        <item x="3"/>
        <item x="4"/>
        <item x="2"/>
        <item x="5"/>
        <item x="0"/>
        <item x="1"/>
        <item x="8"/>
        <item x="7"/>
        <item t="default"/>
      </items>
    </pivotField>
  </pivotFields>
  <rowFields count="2">
    <field x="2"/>
    <field x="0"/>
  </rowFields>
  <rowItems count="11">
    <i>
      <x/>
    </i>
    <i r="1">
      <x/>
    </i>
    <i r="1">
      <x v="1"/>
    </i>
    <i>
      <x v="1"/>
    </i>
    <i r="1">
      <x/>
    </i>
    <i>
      <x v="2"/>
    </i>
    <i r="1">
      <x/>
    </i>
    <i>
      <x v="3"/>
    </i>
    <i r="1">
      <x/>
    </i>
    <i r="1">
      <x v="2"/>
    </i>
    <i t="grand">
      <x/>
    </i>
  </rowItems>
  <colItems count="1">
    <i/>
  </colItems>
  <dataFields count="1">
    <dataField name="Sum of Σύνολο" fld="6" baseField="2" baseItem="0"/>
  </dataFields>
  <chartFormats count="2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30" totalsRowShown="0">
  <autoFilter ref="A1:G30"/>
  <tableColumns count="7">
    <tableColumn id="1" name="Μήνας" dataDxfId="2">
      <calculatedColumnFormula>MONTH(Table1[[#This Row],[Ημερομηνία]])</calculatedColumnFormula>
    </tableColumn>
    <tableColumn id="2" name="Ημερομηνία" dataDxfId="1"/>
    <tableColumn id="3" name="Κατηγορία"/>
    <tableColumn id="4" name="Περιγραφή"/>
    <tableColumn id="5" name="Ποσότητα"/>
    <tableColumn id="6" name="Αξία" dataCellStyle="Currency"/>
    <tableColumn id="7" name="Σύνολο" dataDxfId="0" dataCellStyle="Currency">
      <calculatedColumnFormula>E2*F2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3.6640625" customWidth="1"/>
  </cols>
  <sheetData>
    <row r="3" spans="1:2" x14ac:dyDescent="0.3">
      <c r="A3" s="9" t="s">
        <v>20</v>
      </c>
      <c r="B3" t="s">
        <v>23</v>
      </c>
    </row>
    <row r="4" spans="1:2" x14ac:dyDescent="0.3">
      <c r="A4" s="10" t="s">
        <v>7</v>
      </c>
      <c r="B4" s="7">
        <v>120</v>
      </c>
    </row>
    <row r="5" spans="1:2" x14ac:dyDescent="0.3">
      <c r="A5" s="11">
        <v>7</v>
      </c>
      <c r="B5" s="7">
        <v>70</v>
      </c>
    </row>
    <row r="6" spans="1:2" x14ac:dyDescent="0.3">
      <c r="A6" s="11">
        <v>8</v>
      </c>
      <c r="B6" s="7">
        <v>50</v>
      </c>
    </row>
    <row r="7" spans="1:2" x14ac:dyDescent="0.3">
      <c r="A7" s="10" t="s">
        <v>9</v>
      </c>
      <c r="B7" s="7">
        <v>47.5</v>
      </c>
    </row>
    <row r="8" spans="1:2" x14ac:dyDescent="0.3">
      <c r="A8" s="11">
        <v>7</v>
      </c>
      <c r="B8" s="7">
        <v>47.5</v>
      </c>
    </row>
    <row r="9" spans="1:2" x14ac:dyDescent="0.3">
      <c r="A9" s="10" t="s">
        <v>11</v>
      </c>
      <c r="B9" s="7">
        <v>15</v>
      </c>
    </row>
    <row r="10" spans="1:2" x14ac:dyDescent="0.3">
      <c r="A10" s="11">
        <v>7</v>
      </c>
      <c r="B10" s="7">
        <v>15</v>
      </c>
    </row>
    <row r="11" spans="1:2" x14ac:dyDescent="0.3">
      <c r="A11" s="10" t="s">
        <v>21</v>
      </c>
      <c r="B11" s="7">
        <v>0</v>
      </c>
    </row>
    <row r="12" spans="1:2" x14ac:dyDescent="0.3">
      <c r="A12" s="11">
        <v>7</v>
      </c>
      <c r="B12" s="7">
        <v>0</v>
      </c>
    </row>
    <row r="13" spans="1:2" x14ac:dyDescent="0.3">
      <c r="A13" s="11" t="s">
        <v>21</v>
      </c>
      <c r="B13" s="7">
        <v>0</v>
      </c>
    </row>
    <row r="14" spans="1:2" x14ac:dyDescent="0.3">
      <c r="A14" s="10" t="s">
        <v>22</v>
      </c>
      <c r="B14" s="7">
        <v>182.5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>
      <selection activeCell="K21" sqref="K21"/>
    </sheetView>
  </sheetViews>
  <sheetFormatPr defaultRowHeight="14.4" x14ac:dyDescent="0.3"/>
  <cols>
    <col min="2" max="2" width="16.77734375" customWidth="1"/>
    <col min="3" max="3" width="14.33203125" customWidth="1"/>
    <col min="4" max="4" width="14.44140625" customWidth="1"/>
    <col min="5" max="5" width="13.21875" customWidth="1"/>
    <col min="6" max="6" width="11.77734375" style="1" customWidth="1"/>
    <col min="7" max="7" width="13.77734375" style="1" customWidth="1"/>
    <col min="10" max="10" width="13.5546875" customWidth="1"/>
    <col min="11" max="11" width="16.5546875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s="1" t="s">
        <v>5</v>
      </c>
      <c r="G1" s="1" t="s">
        <v>6</v>
      </c>
      <c r="I1" s="5"/>
      <c r="J1" s="5"/>
      <c r="K1" s="5"/>
      <c r="L1" s="5"/>
    </row>
    <row r="2" spans="1:12" x14ac:dyDescent="0.3">
      <c r="A2">
        <f>MONTH(Table1[[#This Row],[Ημερομηνία]])</f>
        <v>7</v>
      </c>
      <c r="B2" s="2">
        <v>44744</v>
      </c>
      <c r="C2" t="s">
        <v>7</v>
      </c>
      <c r="D2" t="s">
        <v>8</v>
      </c>
      <c r="E2">
        <v>5</v>
      </c>
      <c r="F2" s="1">
        <v>6</v>
      </c>
      <c r="G2" s="1">
        <f t="shared" ref="G2:G30" si="0">E2*F2</f>
        <v>30</v>
      </c>
      <c r="I2" s="5"/>
      <c r="J2" s="3">
        <v>7</v>
      </c>
      <c r="K2" s="6" t="s">
        <v>14</v>
      </c>
      <c r="L2" s="5"/>
    </row>
    <row r="3" spans="1:12" x14ac:dyDescent="0.3">
      <c r="A3">
        <f>MONTH(Table1[[#This Row],[Ημερομηνία]])</f>
        <v>7</v>
      </c>
      <c r="B3" s="2">
        <v>44745</v>
      </c>
      <c r="C3" t="s">
        <v>9</v>
      </c>
      <c r="D3" t="s">
        <v>10</v>
      </c>
      <c r="E3">
        <v>20</v>
      </c>
      <c r="F3" s="1">
        <v>2</v>
      </c>
      <c r="G3" s="1">
        <f t="shared" si="0"/>
        <v>40</v>
      </c>
      <c r="I3" s="5"/>
      <c r="J3" s="3" t="s">
        <v>7</v>
      </c>
      <c r="K3" s="4">
        <f>SUMIFS(G:G,A:A,J$2,C:C,J3)</f>
        <v>70</v>
      </c>
      <c r="L3" s="5"/>
    </row>
    <row r="4" spans="1:12" x14ac:dyDescent="0.3">
      <c r="A4">
        <f>MONTH(Table1[[#This Row],[Ημερομηνία]])</f>
        <v>7</v>
      </c>
      <c r="B4" s="2">
        <v>44747</v>
      </c>
      <c r="C4" t="s">
        <v>11</v>
      </c>
      <c r="D4" t="s">
        <v>12</v>
      </c>
      <c r="E4">
        <v>2</v>
      </c>
      <c r="F4" s="1">
        <v>5</v>
      </c>
      <c r="G4" s="1">
        <f t="shared" si="0"/>
        <v>10</v>
      </c>
      <c r="I4" s="5"/>
      <c r="J4" s="3" t="s">
        <v>9</v>
      </c>
      <c r="K4" s="4">
        <f>SUMIFS(G:G,A:A,J$2,C:C,J4)</f>
        <v>47.5</v>
      </c>
      <c r="L4" s="5"/>
    </row>
    <row r="5" spans="1:12" x14ac:dyDescent="0.3">
      <c r="A5">
        <f>MONTH(Table1[[#This Row],[Ημερομηνία]])</f>
        <v>7</v>
      </c>
      <c r="B5" s="2">
        <v>44748</v>
      </c>
      <c r="C5" t="s">
        <v>11</v>
      </c>
      <c r="D5" t="s">
        <v>16</v>
      </c>
      <c r="E5">
        <v>10</v>
      </c>
      <c r="F5" s="1">
        <v>0.5</v>
      </c>
      <c r="G5" s="1">
        <f t="shared" si="0"/>
        <v>5</v>
      </c>
      <c r="I5" s="5"/>
      <c r="J5" s="3" t="s">
        <v>11</v>
      </c>
      <c r="K5" s="4">
        <f t="shared" ref="K5:K6" si="1">SUMIFS(G:G,A:A,J$2,C:C,J5)</f>
        <v>15</v>
      </c>
      <c r="L5" s="5"/>
    </row>
    <row r="6" spans="1:12" x14ac:dyDescent="0.3">
      <c r="A6">
        <f>MONTH(Table1[[#This Row],[Ημερομηνία]])</f>
        <v>7</v>
      </c>
      <c r="B6" s="2">
        <v>44749</v>
      </c>
      <c r="C6" t="s">
        <v>9</v>
      </c>
      <c r="D6" t="s">
        <v>17</v>
      </c>
      <c r="E6">
        <v>10</v>
      </c>
      <c r="F6" s="1">
        <v>0.75</v>
      </c>
      <c r="G6" s="1">
        <f t="shared" si="0"/>
        <v>7.5</v>
      </c>
      <c r="I6" s="5"/>
      <c r="J6" s="3" t="s">
        <v>13</v>
      </c>
      <c r="K6" s="4">
        <f t="shared" si="1"/>
        <v>0</v>
      </c>
      <c r="L6" s="5"/>
    </row>
    <row r="7" spans="1:12" x14ac:dyDescent="0.3">
      <c r="A7">
        <f>MONTH(Table1[[#This Row],[Ημερομηνία]])</f>
        <v>7</v>
      </c>
      <c r="B7" s="2">
        <v>44750</v>
      </c>
      <c r="C7" t="s">
        <v>7</v>
      </c>
      <c r="D7" t="s">
        <v>18</v>
      </c>
      <c r="E7">
        <v>2</v>
      </c>
      <c r="F7" s="1">
        <v>10</v>
      </c>
      <c r="G7" s="1">
        <f t="shared" si="0"/>
        <v>20</v>
      </c>
      <c r="I7" s="5"/>
      <c r="J7" s="5"/>
      <c r="K7" s="5"/>
      <c r="L7" s="5"/>
    </row>
    <row r="8" spans="1:12" x14ac:dyDescent="0.3">
      <c r="A8">
        <f>MONTH(Table1[[#This Row],[Ημερομηνία]])</f>
        <v>7</v>
      </c>
      <c r="B8" s="2">
        <v>44751</v>
      </c>
      <c r="C8" t="s">
        <v>7</v>
      </c>
      <c r="D8" t="s">
        <v>19</v>
      </c>
      <c r="E8">
        <v>2</v>
      </c>
      <c r="F8" s="1">
        <v>10</v>
      </c>
      <c r="G8" s="1">
        <f t="shared" si="0"/>
        <v>20</v>
      </c>
    </row>
    <row r="9" spans="1:12" x14ac:dyDescent="0.3">
      <c r="A9">
        <f>MONTH(Table1[[#This Row],[Ημερομηνία]])</f>
        <v>7</v>
      </c>
      <c r="B9" s="2">
        <v>44752</v>
      </c>
      <c r="G9" s="1">
        <f t="shared" si="0"/>
        <v>0</v>
      </c>
    </row>
    <row r="10" spans="1:12" x14ac:dyDescent="0.3">
      <c r="A10">
        <f>MONTH(Table1[[#This Row],[Ημερομηνία]])</f>
        <v>7</v>
      </c>
      <c r="B10" s="2">
        <v>44753</v>
      </c>
      <c r="G10" s="1">
        <f t="shared" si="0"/>
        <v>0</v>
      </c>
      <c r="I10" s="12"/>
      <c r="J10" s="12"/>
      <c r="K10" s="12"/>
      <c r="L10" s="12"/>
    </row>
    <row r="11" spans="1:12" x14ac:dyDescent="0.3">
      <c r="A11">
        <f>MONTH(Table1[[#This Row],[Ημερομηνία]])</f>
        <v>7</v>
      </c>
      <c r="B11" s="2">
        <v>44754</v>
      </c>
      <c r="G11" s="1">
        <f t="shared" si="0"/>
        <v>0</v>
      </c>
      <c r="I11" s="12"/>
      <c r="J11">
        <v>8</v>
      </c>
      <c r="K11" t="s">
        <v>14</v>
      </c>
      <c r="L11" s="12"/>
    </row>
    <row r="12" spans="1:12" x14ac:dyDescent="0.3">
      <c r="A12">
        <f>MONTH(Table1[[#This Row],[Ημερομηνία]])</f>
        <v>7</v>
      </c>
      <c r="B12" s="2">
        <v>44755</v>
      </c>
      <c r="G12" s="1">
        <f t="shared" si="0"/>
        <v>0</v>
      </c>
      <c r="I12" s="12"/>
      <c r="J12" s="3" t="s">
        <v>7</v>
      </c>
      <c r="K12" s="4">
        <f>SUMIFS(G:G,A:A,J$11,C:C,J12)</f>
        <v>50</v>
      </c>
      <c r="L12" s="12"/>
    </row>
    <row r="13" spans="1:12" x14ac:dyDescent="0.3">
      <c r="A13">
        <f>MONTH(Table1[[#This Row],[Ημερομηνία]])</f>
        <v>7</v>
      </c>
      <c r="B13" s="2">
        <v>44756</v>
      </c>
      <c r="G13" s="1">
        <f t="shared" si="0"/>
        <v>0</v>
      </c>
      <c r="I13" s="12"/>
      <c r="J13" s="3" t="s">
        <v>9</v>
      </c>
      <c r="K13" s="4">
        <f t="shared" ref="K13:K15" si="2">SUMIFS(G:G,A:A,J$11,C:C,J13)</f>
        <v>0</v>
      </c>
      <c r="L13" s="12"/>
    </row>
    <row r="14" spans="1:12" x14ac:dyDescent="0.3">
      <c r="A14">
        <f>MONTH(Table1[[#This Row],[Ημερομηνία]])</f>
        <v>7</v>
      </c>
      <c r="B14" s="2">
        <v>44757</v>
      </c>
      <c r="G14" s="1">
        <f t="shared" si="0"/>
        <v>0</v>
      </c>
      <c r="I14" s="12"/>
      <c r="J14" s="3" t="s">
        <v>11</v>
      </c>
      <c r="K14" s="4">
        <f t="shared" si="2"/>
        <v>0</v>
      </c>
      <c r="L14" s="12"/>
    </row>
    <row r="15" spans="1:12" x14ac:dyDescent="0.3">
      <c r="A15">
        <f>MONTH(Table1[[#This Row],[Ημερομηνία]])</f>
        <v>7</v>
      </c>
      <c r="B15" s="2">
        <v>44758</v>
      </c>
      <c r="G15" s="1">
        <f t="shared" si="0"/>
        <v>0</v>
      </c>
      <c r="I15" s="12"/>
      <c r="J15" s="3" t="s">
        <v>13</v>
      </c>
      <c r="K15" s="4">
        <f t="shared" si="2"/>
        <v>0</v>
      </c>
      <c r="L15" s="12"/>
    </row>
    <row r="16" spans="1:12" x14ac:dyDescent="0.3">
      <c r="A16" s="7"/>
      <c r="B16" s="2"/>
      <c r="G16" s="8"/>
      <c r="I16" s="12"/>
      <c r="J16" s="12"/>
      <c r="K16" s="12"/>
      <c r="L16" s="12"/>
    </row>
    <row r="17" spans="1:12" x14ac:dyDescent="0.3">
      <c r="A17">
        <f>MONTH(Table1[[#This Row],[Ημερομηνία]])</f>
        <v>8</v>
      </c>
      <c r="B17" s="2">
        <v>44774</v>
      </c>
      <c r="C17" t="s">
        <v>7</v>
      </c>
      <c r="D17" t="s">
        <v>15</v>
      </c>
      <c r="E17">
        <v>5</v>
      </c>
      <c r="F17" s="1">
        <v>10</v>
      </c>
      <c r="G17" s="1">
        <f>E17*F17</f>
        <v>50</v>
      </c>
    </row>
    <row r="18" spans="1:12" x14ac:dyDescent="0.3">
      <c r="B18" s="2">
        <v>44775</v>
      </c>
      <c r="G18" s="1">
        <f t="shared" si="0"/>
        <v>0</v>
      </c>
    </row>
    <row r="19" spans="1:12" x14ac:dyDescent="0.3">
      <c r="B19" s="2">
        <v>44776</v>
      </c>
      <c r="G19" s="1">
        <f t="shared" si="0"/>
        <v>0</v>
      </c>
      <c r="I19" s="12"/>
      <c r="J19" s="12"/>
      <c r="K19" s="12"/>
      <c r="L19" s="12"/>
    </row>
    <row r="20" spans="1:12" x14ac:dyDescent="0.3">
      <c r="B20" s="2">
        <v>44777</v>
      </c>
      <c r="G20" s="1">
        <f t="shared" si="0"/>
        <v>0</v>
      </c>
      <c r="I20" s="12"/>
      <c r="J20">
        <v>8</v>
      </c>
      <c r="K20" t="s">
        <v>14</v>
      </c>
      <c r="L20" s="12"/>
    </row>
    <row r="21" spans="1:12" x14ac:dyDescent="0.3">
      <c r="B21" s="2">
        <v>44778</v>
      </c>
      <c r="G21" s="1">
        <f t="shared" si="0"/>
        <v>0</v>
      </c>
      <c r="I21" s="12"/>
      <c r="J21" s="3" t="s">
        <v>7</v>
      </c>
      <c r="K21" s="4">
        <f>SUMIFS(G:G,A:A,J$11,C:C,J21)</f>
        <v>50</v>
      </c>
      <c r="L21" s="12"/>
    </row>
    <row r="22" spans="1:12" x14ac:dyDescent="0.3">
      <c r="B22" s="2">
        <v>44779</v>
      </c>
      <c r="G22" s="1">
        <f t="shared" si="0"/>
        <v>0</v>
      </c>
      <c r="I22" s="12"/>
      <c r="J22" s="3" t="s">
        <v>9</v>
      </c>
      <c r="K22" s="4">
        <f t="shared" ref="K22:K24" si="3">SUMIFS(G:G,A:A,J$11,C:C,J22)</f>
        <v>0</v>
      </c>
      <c r="L22" s="12"/>
    </row>
    <row r="23" spans="1:12" x14ac:dyDescent="0.3">
      <c r="B23" s="2">
        <v>44780</v>
      </c>
      <c r="G23" s="1">
        <f t="shared" si="0"/>
        <v>0</v>
      </c>
      <c r="I23" s="12"/>
      <c r="J23" s="3" t="s">
        <v>11</v>
      </c>
      <c r="K23" s="4">
        <f t="shared" si="3"/>
        <v>0</v>
      </c>
      <c r="L23" s="12"/>
    </row>
    <row r="24" spans="1:12" x14ac:dyDescent="0.3">
      <c r="B24" s="2">
        <v>44781</v>
      </c>
      <c r="G24" s="1">
        <f t="shared" si="0"/>
        <v>0</v>
      </c>
      <c r="I24" s="12"/>
      <c r="J24" s="3" t="s">
        <v>13</v>
      </c>
      <c r="K24" s="4">
        <f t="shared" si="3"/>
        <v>0</v>
      </c>
      <c r="L24" s="12"/>
    </row>
    <row r="25" spans="1:12" x14ac:dyDescent="0.3">
      <c r="B25" s="2"/>
      <c r="G25" s="1">
        <f t="shared" si="0"/>
        <v>0</v>
      </c>
      <c r="I25" s="12"/>
      <c r="J25" s="12"/>
      <c r="K25" s="12"/>
      <c r="L25" s="12"/>
    </row>
    <row r="26" spans="1:12" x14ac:dyDescent="0.3">
      <c r="B26" s="2"/>
      <c r="G26" s="1">
        <f t="shared" si="0"/>
        <v>0</v>
      </c>
    </row>
    <row r="27" spans="1:12" x14ac:dyDescent="0.3">
      <c r="B27" s="2"/>
      <c r="G27" s="1">
        <f t="shared" si="0"/>
        <v>0</v>
      </c>
    </row>
    <row r="28" spans="1:12" x14ac:dyDescent="0.3">
      <c r="B28" s="2"/>
      <c r="G28" s="1">
        <f t="shared" si="0"/>
        <v>0</v>
      </c>
    </row>
    <row r="29" spans="1:12" x14ac:dyDescent="0.3">
      <c r="B29" s="2"/>
      <c r="G29" s="1">
        <f t="shared" si="0"/>
        <v>0</v>
      </c>
    </row>
    <row r="30" spans="1:12" x14ac:dyDescent="0.3">
      <c r="B30" s="2"/>
      <c r="G30" s="1">
        <f t="shared" si="0"/>
        <v>0</v>
      </c>
    </row>
  </sheetData>
  <conditionalFormatting sqref="K3">
    <cfRule type="dataBar" priority="4">
      <dataBar>
        <cfvo type="num" val="0"/>
        <cfvo type="num" val="100"/>
        <color rgb="FFD6007B"/>
      </dataBar>
      <extLst>
        <ext xmlns:x14="http://schemas.microsoft.com/office/spreadsheetml/2009/9/main" uri="{B025F937-C7B1-47D3-B67F-A62EFF666E3E}">
          <x14:id>{979B3538-0814-46BB-800F-1415C7A8003F}</x14:id>
        </ext>
      </extLst>
    </cfRule>
  </conditionalFormatting>
  <conditionalFormatting sqref="K4:K6">
    <cfRule type="dataBar" priority="3">
      <dataBar>
        <cfvo type="num" val="0"/>
        <cfvo type="num" val="50"/>
        <color rgb="FFD6007B"/>
      </dataBar>
      <extLst>
        <ext xmlns:x14="http://schemas.microsoft.com/office/spreadsheetml/2009/9/main" uri="{B025F937-C7B1-47D3-B67F-A62EFF666E3E}">
          <x14:id>{F2EE46AA-F001-47EC-B0BB-A1269498F7C1}</x14:id>
        </ext>
      </extLst>
    </cfRule>
  </conditionalFormatting>
  <conditionalFormatting sqref="K12:K15">
    <cfRule type="dataBar" priority="2">
      <dataBar>
        <cfvo type="num" val="0"/>
        <cfvo type="num" val="75"/>
        <color rgb="FFD6007B"/>
      </dataBar>
      <extLst>
        <ext xmlns:x14="http://schemas.microsoft.com/office/spreadsheetml/2009/9/main" uri="{B025F937-C7B1-47D3-B67F-A62EFF666E3E}">
          <x14:id>{0AE6126C-EBD0-48A0-943A-5B73E97DD53A}</x14:id>
        </ext>
      </extLst>
    </cfRule>
  </conditionalFormatting>
  <conditionalFormatting sqref="K21:K24">
    <cfRule type="dataBar" priority="1">
      <dataBar>
        <cfvo type="num" val="0"/>
        <cfvo type="num" val="75"/>
        <color rgb="FFD6007B"/>
      </dataBar>
      <extLst>
        <ext xmlns:x14="http://schemas.microsoft.com/office/spreadsheetml/2009/9/main" uri="{B025F937-C7B1-47D3-B67F-A62EFF666E3E}">
          <x14:id>{81E54AE3-F93E-4E8E-B997-BACFB7A14EB9}</x14:id>
        </ext>
      </extLst>
    </cfRule>
  </conditionalFormatting>
  <dataValidations count="1">
    <dataValidation type="list" allowBlank="1" showInputMessage="1" showErrorMessage="1" sqref="C17:C1048576 C1:C15">
      <formula1>"Κρεατικά, Λαχανικά, Φρούτα, Γαλακτοκομικά"</formula1>
    </dataValidation>
  </dataValidations>
  <pageMargins left="0.7" right="0.7" top="0.75" bottom="0.75" header="0.3" footer="0.3"/>
  <pageSetup scale="81" orientation="landscape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9B3538-0814-46BB-800F-1415C7A8003F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F2EE46AA-F001-47EC-B0BB-A1269498F7C1}">
            <x14:dataBar minLength="0" maxLength="100" border="1" negativeBarBorderColorSameAsPositive="0">
              <x14:cfvo type="num">
                <xm:f>0</xm:f>
              </x14:cfvo>
              <x14:cfvo type="num">
                <xm:f>50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K4:K6</xm:sqref>
        </x14:conditionalFormatting>
        <x14:conditionalFormatting xmlns:xm="http://schemas.microsoft.com/office/excel/2006/main">
          <x14:cfRule type="dataBar" id="{0AE6126C-EBD0-48A0-943A-5B73E97DD53A}">
            <x14:dataBar minLength="0" maxLength="100" border="1" negativeBarBorderColorSameAsPositive="0">
              <x14:cfvo type="num">
                <xm:f>0</xm:f>
              </x14:cfvo>
              <x14:cfvo type="num">
                <xm:f>75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K12:K15</xm:sqref>
        </x14:conditionalFormatting>
        <x14:conditionalFormatting xmlns:xm="http://schemas.microsoft.com/office/excel/2006/main">
          <x14:cfRule type="dataBar" id="{81E54AE3-F93E-4E8E-B997-BACFB7A14EB9}">
            <x14:dataBar minLength="0" maxLength="100" border="1" negativeBarBorderColorSameAsPositive="0">
              <x14:cfvo type="num">
                <xm:f>0</xm:f>
              </x14:cfvo>
              <x14:cfvo type="num">
                <xm:f>75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K21:K24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cp:lastPrinted>2022-07-07T22:15:23Z</cp:lastPrinted>
  <dcterms:created xsi:type="dcterms:W3CDTF">2022-07-07T10:34:28Z</dcterms:created>
  <dcterms:modified xsi:type="dcterms:W3CDTF">2022-07-14T20:58:25Z</dcterms:modified>
</cp:coreProperties>
</file>